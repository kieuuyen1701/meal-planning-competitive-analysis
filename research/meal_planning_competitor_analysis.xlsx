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nam/Downloads/"/>
    </mc:Choice>
  </mc:AlternateContent>
  <xr:revisionPtr revIDLastSave="0" documentId="8_{C24EC584-33DC-A846-94B8-3C97FE4A381F}" xr6:coauthVersionLast="47" xr6:coauthVersionMax="47" xr10:uidLastSave="{00000000-0000-0000-0000-000000000000}"/>
  <bookViews>
    <workbookView xWindow="0" yWindow="0" windowWidth="28800" windowHeight="18000" activeTab="1" xr2:uid="{94C38B99-F952-4F4B-9F06-30D3B3EEF13F}"/>
  </bookViews>
  <sheets>
    <sheet name="Competitor Research" sheetId="1" r:id="rId1"/>
    <sheet name="Feature Comparison" sheetId="4" r:id="rId2"/>
    <sheet name="Pricing &amp; Positioning" sheetId="5" r:id="rId3"/>
    <sheet name="Review Summary" sheetId="2" r:id="rId4"/>
    <sheet name="Market Gap Analysis" sheetId="6" r:id="rId5"/>
    <sheet name="Recommendations" sheetId="7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6" l="1"/>
  <c r="G5" i="6"/>
  <c r="G3" i="6"/>
  <c r="G4" i="6"/>
  <c r="G2" i="6"/>
  <c r="J3" i="6"/>
  <c r="J4" i="6"/>
  <c r="J5" i="6"/>
  <c r="J6" i="6"/>
  <c r="J2" i="6"/>
  <c r="H3" i="4"/>
  <c r="H4" i="4"/>
  <c r="H5" i="4"/>
  <c r="H6" i="4"/>
  <c r="H7" i="4"/>
  <c r="H8" i="4"/>
  <c r="H9" i="4"/>
  <c r="H11" i="4"/>
  <c r="H12" i="4"/>
  <c r="H13" i="4"/>
  <c r="H2" i="4"/>
</calcChain>
</file>

<file path=xl/sharedStrings.xml><?xml version="1.0" encoding="utf-8"?>
<sst xmlns="http://schemas.openxmlformats.org/spreadsheetml/2006/main" count="408" uniqueCount="227">
  <si>
    <t>Competitor</t>
  </si>
  <si>
    <t>Website</t>
  </si>
  <si>
    <t>Target Customer</t>
  </si>
  <si>
    <t>Core Value Proposition</t>
  </si>
  <si>
    <t>Free Plan</t>
  </si>
  <si>
    <t>Annual Price</t>
  </si>
  <si>
    <t>Free Trial</t>
  </si>
  <si>
    <t>Meal Planning</t>
  </si>
  <si>
    <t>Auto Meal Generation</t>
  </si>
  <si>
    <t>Recipe Discovery</t>
  </si>
  <si>
    <t>Recipe Import</t>
  </si>
  <si>
    <t>Grocery List</t>
  </si>
  <si>
    <t>Nutrition Tracking</t>
  </si>
  <si>
    <t>Dietary Preferences</t>
  </si>
  <si>
    <t>Personalisation</t>
  </si>
  <si>
    <t>Pantry Management</t>
  </si>
  <si>
    <t>Grocery Integration</t>
  </si>
  <si>
    <t>AI Features</t>
  </si>
  <si>
    <t>Key Strength</t>
  </si>
  <si>
    <t>Key Weakness</t>
  </si>
  <si>
    <t>Positioning</t>
  </si>
  <si>
    <t>Source</t>
  </si>
  <si>
    <t>Date Collected</t>
  </si>
  <si>
    <t>Eat This Much</t>
  </si>
  <si>
    <t>Yes</t>
  </si>
  <si>
    <t>Samsung Food</t>
  </si>
  <si>
    <t>eMeals</t>
  </si>
  <si>
    <t>Plan to Eat</t>
  </si>
  <si>
    <t>Paprika</t>
  </si>
  <si>
    <t>Mealime</t>
  </si>
  <si>
    <t>https://www.eatthismuch.com/</t>
  </si>
  <si>
    <t>People with specific diet goals and busy individuals
who want to eat healthier with less meal planning.</t>
  </si>
  <si>
    <t>Personalised meal plans based on users' diet goals, with automated planning
and grocery guidance to make healthy eating easier.</t>
  </si>
  <si>
    <t>Monthly Price (USD)</t>
  </si>
  <si>
    <t>Annual Price (USD)</t>
  </si>
  <si>
    <t>Not confirmed</t>
  </si>
  <si>
    <t>High</t>
  </si>
  <si>
    <t>Reviews Analysed</t>
  </si>
  <si>
    <t>Top Positive Theme</t>
  </si>
  <si>
    <t>Main Pain Point</t>
  </si>
  <si>
    <t xml:space="preserve">Positive </t>
  </si>
  <si>
    <t xml:space="preserve">Negative </t>
  </si>
  <si>
    <t>Not explicitly advertised</t>
  </si>
  <si>
    <t>Easy-to-use meal planning with strong nutrition goal support and grocery planning features</t>
  </si>
  <si>
    <t>Mixed customer perceptions of pricing and subscription value, with some reported technical issues</t>
  </si>
  <si>
    <t>Automated and personalised meal planning for users who want to achieve nutrition goals with less planning effort</t>
  </si>
  <si>
    <t>https://www.eatthismuch.com/pricing
https://play.google.com/store/apps/details?id=com.eatthismuch</t>
  </si>
  <si>
    <t>Natural</t>
  </si>
  <si>
    <t>Usability (88.20%)</t>
  </si>
  <si>
    <t>Pricing &amp; Subscription - mixed sentiment (50% negative)</t>
  </si>
  <si>
    <t>https://samsungfood.com/</t>
  </si>
  <si>
    <t>Home cooks and health-conscious users who want to organise recipes, plan meals, shop for groceries, and manage nutrition in one app</t>
  </si>
  <si>
    <t>An all-in-one food app combining recipe saving and discovery, meal planning, grocery shopping, nutrition tracking, and AI-powered personalisation</t>
  </si>
  <si>
    <t>Yes - 7 days</t>
  </si>
  <si>
    <t>Yes - advanced tracking
Food+</t>
  </si>
  <si>
    <t>Yes - automated Food
List in Food+</t>
  </si>
  <si>
    <t>Yes - online grocery ordering available in selected countries</t>
  </si>
  <si>
    <t>All-in-one cooking and meal-planning platform combining recipes, shopping, nutrition and AI personalisation</t>
  </si>
  <si>
    <t>https://samsungfood.com/
https://samsungfood.com/food-plus/
https://play.google.com/store/apps/details?id=com.foodient.whisk</t>
  </si>
  <si>
    <t>Strong recipe management and discovery experience, supported by highly positive usability feedback.</t>
  </si>
  <si>
    <t>Technical issues are a notable customer pain point, with 90.5% of technical issue mentions classified as negative.</t>
  </si>
  <si>
    <t>Usability (90.0% positive)</t>
  </si>
  <si>
    <t>(90.0% positive)
Technical Issues (90.5% negative)</t>
  </si>
  <si>
    <t>https://emeals.com/</t>
  </si>
  <si>
    <t>Busy individuals and families who want to simplify weekly meal planning and grocery shopping</t>
  </si>
  <si>
    <t>Weekly meal plans with curated recipes and automatic grocery lists that can be sent directly to grocery pickup or delivery services</t>
  </si>
  <si>
    <t>No</t>
  </si>
  <si>
    <t>No standard monthly plan
3-month Dinner plan US$35.99</t>
  </si>
  <si>
    <t>Yes - 14 days</t>
  </si>
  <si>
    <t>No
users select meals from curated plans</t>
  </si>
  <si>
    <t>US$59.99/year - Dinner plan</t>
  </si>
  <si>
    <t>Limited
nutritional information provided</t>
  </si>
  <si>
    <t>Medium</t>
  </si>
  <si>
    <t>Strong integration between weekly meal planning and grocery shopping</t>
  </si>
  <si>
    <t>High negative review sentiment, particularly around pricing/subscription and technical issues</t>
  </si>
  <si>
    <t>Meal-planning service for busy families that connects weekly recipe planning directly with grocery shopping</t>
  </si>
  <si>
    <t>https://www.plantoeat.com/</t>
  </si>
  <si>
    <t>Meal Planning (55.6% positive)*</t>
  </si>
  <si>
    <t>Pricing &amp; Subscription
(84.0% negative)</t>
  </si>
  <si>
    <t>https://emeals.com/how-it-works/
https://play.google.com/store/apps/details?id=com.emeals&amp;hl=en_AU</t>
  </si>
  <si>
    <t>Individuals and families who want to organise their own recipes, plan meals, and simplify grocery shopping</t>
  </si>
  <si>
    <t>A recipe-first meal planning system that turns users' saved recipes into flexible meal plans and automatic grocery lists</t>
  </si>
  <si>
    <t>Limited</t>
  </si>
  <si>
    <t>Not explicitly positioned
as an AI product</t>
  </si>
  <si>
    <t>Strong recipe organisation, meal planning, and automatic grocery list experience with exceptionally positive customer feedback</t>
  </si>
  <si>
    <t>Pricing and subscription received more mixed feedback than its core product features</t>
  </si>
  <si>
    <t>User-controlled recipe organisation and meal planning for people who want to plan with their own recipes</t>
  </si>
  <si>
    <t>plantoeat.com/tour/frequently-asked-questions/
https://play.google.com/store/apps/details?id=com.plantoeat.mobile&amp;hl=en_AU</t>
  </si>
  <si>
    <t>Recipes (98.3% positive,
120 mentions)</t>
  </si>
  <si>
    <t>Pricing &amp; Subscription
(29.6% negative, 27 mentions)</t>
  </si>
  <si>
    <t>Paprika Recipe Manager 3</t>
  </si>
  <si>
    <t>Paprika Recipe
Manager 3</t>
  </si>
  <si>
    <t>https://www.paprikaapp.com/</t>
  </si>
  <si>
    <t>Home cooks who want to organise personal recipes, plan meals, manage groceries, and track pantry items</t>
  </si>
  <si>
    <t>A recipe management and meal-planning app that keeps recipes, grocery lists, meal plans, and pantry items organised in one place</t>
  </si>
  <si>
    <t>N/A – one-time purchase</t>
  </si>
  <si>
    <t>No standard
trial confirmed</t>
  </si>
  <si>
    <t>Limited – built-in browser
for finding recipes online</t>
  </si>
  <si>
    <t>Limited – nutrition information
can be stored with recipes</t>
  </si>
  <si>
    <t>No dedicated personalisation system confirmed</t>
  </si>
  <si>
    <t>No direct grocery deliver
 integration confirmed</t>
  </si>
  <si>
    <t>No – not a core
Paprika 3 feature</t>
  </si>
  <si>
    <t>Strong recipe organisation and grocery management with exceptionally positive customer feedback</t>
  </si>
  <si>
    <t>Limited automated personalisation and meal generation compared with more automation-focused competitors</t>
  </si>
  <si>
    <t>Recipe-first organisation and meal-planning tool for users who prefer control over their own recipes and planning</t>
  </si>
  <si>
    <t>https://play.google.com/store/apps/details?id=com.eatthismuch</t>
  </si>
  <si>
    <t>https://play.google.com/store/apps/details?id=com.foodient.whisk</t>
  </si>
  <si>
    <t>https://play.google.com/store/apps/details?id=com.emeals&amp;hl=en_AU</t>
  </si>
  <si>
    <t>https://play.google.com/store/apps/details?id=com.plantoeat.mobile&amp;hl=en_AU</t>
  </si>
  <si>
    <t>Recipes (99.2% positive,
128 mentions)</t>
  </si>
  <si>
    <t>No major pain point
identified in the sample</t>
  </si>
  <si>
    <t>https://www.mealime.com/</t>
  </si>
  <si>
    <t>Busy individuals and families who want personalised, healthy meal planning with easier grocery shopping</t>
  </si>
  <si>
    <t>Personalised meal planning that helps users choose meals, automatically create grocery lists, and prepare healthy meals quickly</t>
  </si>
  <si>
    <t>Pro subscription available – current
exact price not publicly confirmed</t>
  </si>
  <si>
    <t>Not publicly confirmed</t>
  </si>
  <si>
    <t>Limited – Pro users can specify
ingredients already available</t>
  </si>
  <si>
    <t>Not explicitly advertised as AI</t>
  </si>
  <si>
    <t>Strong personalised meal planning and grocery shopping experience</t>
  </si>
  <si>
    <t>Technical issues are the clearest customer pain point, and the service is scheduled to shut down</t>
  </si>
  <si>
    <t>Personalised healthy meal planning designed to simplify planning, grocery shopping, and cooking</t>
  </si>
  <si>
    <t>https://www.mealime.com/closing</t>
  </si>
  <si>
    <t>https://www.mealime.com/guides</t>
  </si>
  <si>
    <t>Grocery &amp; Shopping
(85.7% positive, n=70)</t>
  </si>
  <si>
    <t>Technical Issues (61.1% negative,
n=18)</t>
  </si>
  <si>
    <t>Feature</t>
  </si>
  <si>
    <t>No dedicated system</t>
  </si>
  <si>
    <t>Market Coverage</t>
  </si>
  <si>
    <t>N/A</t>
  </si>
  <si>
    <t>Pricing Model</t>
  </si>
  <si>
    <t>Entry Price</t>
  </si>
  <si>
    <t>Primary Differentiator</t>
  </si>
  <si>
    <t>Market Status</t>
  </si>
  <si>
    <t>Freemium + Subscription</t>
  </si>
  <si>
    <t>US$5/month*</t>
  </si>
  <si>
    <t>US$60/year*</t>
  </si>
  <si>
    <t>Goal-focused and busy users</t>
  </si>
  <si>
    <t>Automated personalised meal planning focused on nutrition goals</t>
  </si>
  <si>
    <t>Automatic meal generation based on nutrition goals</t>
  </si>
  <si>
    <t>Active</t>
  </si>
  <si>
    <t>US$6.99/month</t>
  </si>
  <si>
    <t>US$59.99/year</t>
  </si>
  <si>
    <t>Home cooks and health-conscious users</t>
  </si>
  <si>
    <t>All-in-one cooking and meal-planning platform</t>
  </si>
  <si>
    <t>Recipe, shopping, nutrition and AI features in one ecosystem</t>
  </si>
  <si>
    <t>Subscription</t>
  </si>
  <si>
    <t>US$35.99 / 3 months</t>
  </si>
  <si>
    <t>Busy individuals and families</t>
  </si>
  <si>
    <t>Meal planning connected directly with grocery shopping</t>
  </si>
  <si>
    <t>Strong grocery ordering integration</t>
  </si>
  <si>
    <t>US$5.95/month</t>
  </si>
  <si>
    <t>US$49/year</t>
  </si>
  <si>
    <t>Individuals and families who prefer their own recipes</t>
  </si>
  <si>
    <t>User-controlled recipe organisation and meal planning</t>
  </si>
  <si>
    <t>Flexible planning around users' own recipe collections</t>
  </si>
  <si>
    <t>One-time purchase</t>
  </si>
  <si>
    <t>One-time purchase**</t>
  </si>
  <si>
    <t>Home cooks who manage their own recipes</t>
  </si>
  <si>
    <t>Recipe-first organisation and meal planning</t>
  </si>
  <si>
    <t>Strong recipe and pantry management without recurring subscription</t>
  </si>
  <si>
    <t>Pro – price not confirmed</t>
  </si>
  <si>
    <t>Busy, health-conscious individuals and families</t>
  </si>
  <si>
    <t>Personalised healthy meal planning</t>
  </si>
  <si>
    <t>Personalised plans combined with streamlined grocery shopping</t>
  </si>
  <si>
    <t>Exiting – shutdown 21 Oct 2026</t>
  </si>
  <si>
    <t>Market Gap / Opportunity</t>
  </si>
  <si>
    <t>Evidence from Features</t>
  </si>
  <si>
    <t>Evidence from Reviews</t>
  </si>
  <si>
    <t>Competitive Evidence</t>
  </si>
  <si>
    <t>Opportunity</t>
  </si>
  <si>
    <t>Priority</t>
  </si>
  <si>
    <t>Smart Personalised Meal Planning</t>
  </si>
  <si>
    <t>Combine automatic meal generation with strong personalisation
based on dietary preferences, nutrition goals, and user preferences</t>
  </si>
  <si>
    <t>Only 3/6 competitors offer automatic meal generation,
while explicit AI features are present in only 1/6</t>
  </si>
  <si>
    <t>Meal planning receives positive feedback across several competitors,
including Eat This Much (75.0%), Plan to Eat (98.0%), and Mealime (75.8%)</t>
  </si>
  <si>
    <t>Samsung Food explicitly offers AI features, while several competitors
still rely mainly on manual or curated meal planning</t>
  </si>
  <si>
    <t>Gap 1 - Smart Personalised
Meal Planning</t>
  </si>
  <si>
    <t>Gap 2 - Reliable &amp; Simple
User Experience</t>
  </si>
  <si>
    <t>Reliable &amp; Simple User Experience</t>
  </si>
  <si>
    <t>Clear Value &amp; Flexible Pricing</t>
  </si>
  <si>
    <t>Core meal-planning features are widely available, making
execution and user experience important differentiators</t>
  </si>
  <si>
    <t>Usability is highly positive for Eat This Much (88.2%), Samsung Food (90.0%) and Plan to Eat (100%),
while technical issues are strongly negative for Samsung Food (90.5%) and eMeals (80.0%)</t>
  </si>
  <si>
    <t>Feature-rich competitors can still receive substantial
negative feedback when technical reliability is poor</t>
  </si>
  <si>
    <t>Differentiate through a simple, stable experience with reliable
syncing, login, planning and grocery-list functionality</t>
  </si>
  <si>
    <t>Only 3/6 competitors offer a free plan and competitors
use different subscription or purchase models</t>
  </si>
  <si>
    <t>Pricing &amp; Subscription is 50.0% negative for Eat This Much and 84.0%
negative for eMeals; Plan to Eat shows some pricing friction at 29.6% negative</t>
  </si>
  <si>
    <t>The market includes freemium, subscription and one-time
purchase models, suggesting no single dominant pricing approach</t>
  </si>
  <si>
    <t>Offer a transparent free tier with a clearly differentiated premium plan
and avoid locking basic planning functionality behind unclear subscription barriers</t>
  </si>
  <si>
    <t>Integrated Grocery Workflow</t>
  </si>
  <si>
    <t>Gap 4 - Integrated Grocery
Workflow</t>
  </si>
  <si>
    <t>Gap 5 - Opportunity from
Mealime Exit</t>
  </si>
  <si>
    <t>Grocery lists are offered by 6/6 competitors and grocery integration by 5/6,
showing that shopping support is now a core part of the meal-planning experience</t>
  </si>
  <si>
    <t>Grocery &amp; Shopping receives strong positive sentiment for Eat This Much (73.3%),
Samsung Food (66.7%), Plan to Eat (100%), and Mealime (85.7%)</t>
  </si>
  <si>
    <t>Most competitors connect meal planning with grocery preparation or ordering,
making a seamless planning-to-shopping journey increasingly important</t>
  </si>
  <si>
    <t>Create a seamless flow from personalised meal plan → grocery list →
pantry check → grocery ordering, reducing manual steps for users</t>
  </si>
  <si>
    <t>Capture Users from an
Exiting Competitor</t>
  </si>
  <si>
    <t>Mealime combines automatic meal generation,
dietary preferences, grocery lists and grocery integration</t>
  </si>
  <si>
    <t>71.5% of the 200 Mealime reviews analysed were positive;
Grocery &amp; Shopping was particularly strong at 85.7% positive</t>
  </si>
  <si>
    <t>Mealime is scheduled to shut down on 21 October 2026,
potentially leaving users seeking an alternative</t>
  </si>
  <si>
    <t>Target former Mealime users with familiar personalised planning and grocery features,
while offering stronger reliability and continuity</t>
  </si>
  <si>
    <t>Gap 3 - Clear Value /
Flexible Pricing</t>
  </si>
  <si>
    <t>Opportunity
Score</t>
  </si>
  <si>
    <t>Competitive
Gap Score</t>
  </si>
  <si>
    <t>Customer
Need Score</t>
  </si>
  <si>
    <t>Strategic Recommendation</t>
  </si>
  <si>
    <t>Evidence</t>
  </si>
  <si>
    <t>Proposed Action</t>
  </si>
  <si>
    <t>Expected Business Impact</t>
  </si>
  <si>
    <t>KPI</t>
  </si>
  <si>
    <t>Recommendation 1 - Smart
Personalised Planning</t>
  </si>
  <si>
    <t>Recommendation 3 - Freemium Entry +
Clear Premium Value</t>
  </si>
  <si>
    <t>Recommendation 2 - Simple &amp;
Reliable UX</t>
  </si>
  <si>
    <t>Build Smart Personalised
Meal Planning</t>
  </si>
  <si>
    <t>Prioritise a Simple and
Reliable User Experience</t>
  </si>
  <si>
    <t>Use a Transparent Freemium
Pricing Strategy</t>
  </si>
  <si>
    <t>Meal Planning is available across all 6 competitors, but only 3/6 offer automatic meal generation and
only 1/6 explicitly promotes AI features. Meal-planning sentiment is also positive across several competitors.</t>
  </si>
  <si>
    <t>Usability received strong positive sentiment across several competitors, while Technical Issues were 90.5%
negative for Samsung Food and 80.0% negative for eMeals.</t>
  </si>
  <si>
    <t>Only 3/6 competitors offer a free plan. Pricing &amp; Subscription was 84.0%
negative for eMeals and 50.0% negative for Eat This Much in the analysed reviews.</t>
  </si>
  <si>
    <t>Develop automatic meal plans based on dietary preferences, nutrition goals,
disliked ingredients and user behaviour, while allowing users to manually adjust recommendations.</t>
  </si>
  <si>
    <t>Launch with a focused core journey: onboarding → meal plan → grocery list,
while prioritising app stability, syncing and low-friction navigation before adding more features.</t>
  </si>
  <si>
    <t>Offer core meal planning and grocery-list functionality for free,
while reserving advanced personalisation, nutrition analytics and automation for a clearly defined premium tier.</t>
  </si>
  <si>
    <t>Creates stronger differentiation while reducing the
time and effort required for users to plan meals.</t>
  </si>
  <si>
    <t>Improves customer satisfaction and retention while
differentiating from feature-rich but technically frustrating alternatives.</t>
  </si>
  <si>
    <t>Lowers the barrier to adoption while creating a
clear pathway from free users to paid subscribers.</t>
  </si>
  <si>
    <t>Meal plan completion rate; % of generated
meals accepted; weekly active users</t>
  </si>
  <si>
    <t>Crash-free sessions; task completion
rate; user retention; app rating</t>
  </si>
  <si>
    <t>Free-to-paid conversion rate; trial conversion;
subscription churn; premium feature 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</si>
</sst>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6" formatCode="&quot;$&quot;#,##0.0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4"/>
      <color theme="1"/>
      <name val="Aptos Narrow"/>
      <scheme val="minor"/>
    </font>
    <font>
      <sz val="16"/>
      <color theme="1"/>
      <name val="Aptos Narrow"/>
      <scheme val="minor"/>
    </font>
    <font>
      <sz val="16"/>
      <color theme="1"/>
      <name val="Aptos Narrow"/>
      <family val="2"/>
      <scheme val="minor"/>
    </font>
    <font>
      <b/>
      <sz val="20"/>
      <color theme="1"/>
      <name val="Aptos Narrow"/>
      <scheme val="minor"/>
    </font>
    <font>
      <b/>
      <sz val="24"/>
      <color theme="1"/>
      <name val="Aptos Narrow"/>
      <scheme val="minor"/>
    </font>
    <font>
      <sz val="18"/>
      <color theme="1"/>
      <name val="Aptos Narrow"/>
      <scheme val="minor"/>
    </font>
    <font>
      <sz val="20"/>
      <color theme="1"/>
      <name val="Aptos Narrow"/>
      <scheme val="minor"/>
    </font>
    <font>
      <sz val="18"/>
      <color rgb="FF000000"/>
      <name val="Aptos Narrow"/>
      <scheme val="minor"/>
    </font>
    <font>
      <b/>
      <sz val="24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7A1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Border="1"/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0" fillId="0" borderId="0" xfId="0" applyBorder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6" fontId="9" fillId="0" borderId="1" xfId="1" applyNumberFormat="1" applyFont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10" fontId="9" fillId="0" borderId="1" xfId="0" applyNumberFormat="1" applyFont="1" applyBorder="1" applyAlignment="1">
      <alignment horizontal="center" vertical="center"/>
    </xf>
    <xf numFmtId="0" fontId="9" fillId="0" borderId="0" xfId="0" applyFont="1"/>
    <xf numFmtId="0" fontId="7" fillId="0" borderId="1" xfId="0" applyFont="1" applyBorder="1" applyAlignment="1">
      <alignment horizontal="center" vertical="center"/>
    </xf>
    <xf numFmtId="0" fontId="9" fillId="0" borderId="1" xfId="1" applyNumberFormat="1" applyFont="1" applyBorder="1" applyAlignment="1">
      <alignment horizontal="center" vertical="center"/>
    </xf>
    <xf numFmtId="0" fontId="9" fillId="0" borderId="1" xfId="1" applyNumberFormat="1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0" xfId="0" applyFont="1" applyFill="1"/>
    <xf numFmtId="0" fontId="15" fillId="0" borderId="0" xfId="0" applyFont="1"/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33">
    <dxf>
      <fill>
        <patternFill>
          <bgColor rgb="FFFFF7A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F7A1"/>
        </patternFill>
      </fill>
    </dxf>
    <dxf>
      <fill>
        <patternFill>
          <bgColor theme="9" tint="0.59996337778862885"/>
        </patternFill>
      </fill>
    </dxf>
    <dxf>
      <fill>
        <patternFill>
          <bgColor rgb="FFFFF7A1"/>
        </patternFill>
      </fill>
    </dxf>
    <dxf>
      <fill>
        <patternFill>
          <bgColor theme="9" tint="0.59996337778862885"/>
        </patternFill>
      </fill>
    </dxf>
    <dxf>
      <fill>
        <patternFill>
          <bgColor rgb="FFFFF7A1"/>
        </patternFill>
      </fill>
    </dxf>
    <dxf>
      <fill>
        <patternFill>
          <bgColor theme="9" tint="0.59996337778862885"/>
        </patternFill>
      </fill>
    </dxf>
    <dxf>
      <fill>
        <patternFill>
          <bgColor rgb="FFFFF7A1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FFF7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48850-6744-7B46-BB48-F99E67786CCC}">
  <dimension ref="A1:X12"/>
  <sheetViews>
    <sheetView topLeftCell="G1" zoomScale="61" zoomScaleNormal="61" workbookViewId="0">
      <selection activeCell="B1" sqref="B1"/>
    </sheetView>
  </sheetViews>
  <sheetFormatPr baseColWidth="10" defaultRowHeight="19" x14ac:dyDescent="0.25"/>
  <cols>
    <col min="1" max="1" width="20.5" style="4" bestFit="1" customWidth="1"/>
    <col min="2" max="2" width="44.33203125" style="11" customWidth="1"/>
    <col min="3" max="3" width="35.5" style="11" customWidth="1"/>
    <col min="4" max="4" width="45.5" style="11" customWidth="1"/>
    <col min="5" max="5" width="17.1640625" style="11" bestFit="1" customWidth="1"/>
    <col min="6" max="6" width="35.1640625" style="11" bestFit="1" customWidth="1"/>
    <col min="7" max="7" width="38.5" style="11" customWidth="1"/>
    <col min="8" max="8" width="23.5" style="11" customWidth="1"/>
    <col min="9" max="9" width="25.33203125" style="11" bestFit="1" customWidth="1"/>
    <col min="10" max="10" width="38" style="11" bestFit="1" customWidth="1"/>
    <col min="11" max="11" width="30.5" style="11" bestFit="1" customWidth="1"/>
    <col min="12" max="12" width="25.1640625" style="11" bestFit="1" customWidth="1"/>
    <col min="13" max="13" width="21.33203125" style="11" bestFit="1" customWidth="1"/>
    <col min="14" max="14" width="31.83203125" style="11" bestFit="1" customWidth="1"/>
    <col min="15" max="15" width="34.83203125" style="11" bestFit="1" customWidth="1"/>
    <col min="16" max="16" width="28" style="11" bestFit="1" customWidth="1"/>
    <col min="17" max="17" width="35.33203125" style="11" bestFit="1" customWidth="1"/>
    <col min="18" max="18" width="34.1640625" style="11" bestFit="1" customWidth="1"/>
    <col min="19" max="19" width="46.1640625" style="11" customWidth="1"/>
    <col min="20" max="20" width="29.33203125" style="11" customWidth="1"/>
    <col min="21" max="21" width="35" style="11" customWidth="1"/>
    <col min="22" max="22" width="34.6640625" style="11" customWidth="1"/>
    <col min="23" max="23" width="52.1640625" style="11" customWidth="1"/>
    <col min="24" max="24" width="26.6640625" style="11" bestFit="1" customWidth="1"/>
    <col min="25" max="16384" width="10.83203125" style="11"/>
  </cols>
  <sheetData>
    <row r="1" spans="1:24" s="19" customFormat="1" ht="32" x14ac:dyDescent="0.2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33</v>
      </c>
      <c r="G1" s="18" t="s">
        <v>34</v>
      </c>
      <c r="H1" s="18" t="s">
        <v>6</v>
      </c>
      <c r="I1" s="18" t="s">
        <v>7</v>
      </c>
      <c r="J1" s="18" t="s">
        <v>8</v>
      </c>
      <c r="K1" s="18" t="s">
        <v>9</v>
      </c>
      <c r="L1" s="18" t="s">
        <v>10</v>
      </c>
      <c r="M1" s="18" t="s">
        <v>11</v>
      </c>
      <c r="N1" s="18" t="s">
        <v>12</v>
      </c>
      <c r="O1" s="18" t="s">
        <v>13</v>
      </c>
      <c r="P1" s="18" t="s">
        <v>14</v>
      </c>
      <c r="Q1" s="18" t="s">
        <v>15</v>
      </c>
      <c r="R1" s="18" t="s">
        <v>16</v>
      </c>
      <c r="S1" s="18" t="s">
        <v>17</v>
      </c>
      <c r="T1" s="18" t="s">
        <v>18</v>
      </c>
      <c r="U1" s="18" t="s">
        <v>19</v>
      </c>
      <c r="V1" s="18" t="s">
        <v>20</v>
      </c>
      <c r="W1" s="18" t="s">
        <v>21</v>
      </c>
      <c r="X1" s="18" t="s">
        <v>22</v>
      </c>
    </row>
    <row r="2" spans="1:24" s="28" customFormat="1" ht="150" x14ac:dyDescent="0.3">
      <c r="A2" s="20" t="s">
        <v>23</v>
      </c>
      <c r="B2" s="20" t="s">
        <v>30</v>
      </c>
      <c r="C2" s="21" t="s">
        <v>31</v>
      </c>
      <c r="D2" s="21" t="s">
        <v>32</v>
      </c>
      <c r="E2" s="22" t="s">
        <v>24</v>
      </c>
      <c r="F2" s="23">
        <v>5</v>
      </c>
      <c r="G2" s="24">
        <v>60</v>
      </c>
      <c r="H2" s="22" t="s">
        <v>24</v>
      </c>
      <c r="I2" s="22" t="s">
        <v>24</v>
      </c>
      <c r="J2" s="22" t="s">
        <v>24</v>
      </c>
      <c r="K2" s="22" t="s">
        <v>24</v>
      </c>
      <c r="L2" s="22" t="s">
        <v>35</v>
      </c>
      <c r="M2" s="22" t="s">
        <v>24</v>
      </c>
      <c r="N2" s="22" t="s">
        <v>24</v>
      </c>
      <c r="O2" s="22" t="s">
        <v>24</v>
      </c>
      <c r="P2" s="20" t="s">
        <v>36</v>
      </c>
      <c r="Q2" s="22" t="s">
        <v>24</v>
      </c>
      <c r="R2" s="22" t="s">
        <v>24</v>
      </c>
      <c r="S2" s="25" t="s">
        <v>42</v>
      </c>
      <c r="T2" s="21" t="s">
        <v>43</v>
      </c>
      <c r="U2" s="21" t="s">
        <v>44</v>
      </c>
      <c r="V2" s="21" t="s">
        <v>45</v>
      </c>
      <c r="W2" s="26" t="s">
        <v>46</v>
      </c>
      <c r="X2" s="27">
        <v>46297</v>
      </c>
    </row>
    <row r="3" spans="1:24" s="6" customFormat="1" x14ac:dyDescent="0.2">
      <c r="A3" s="1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17"/>
    </row>
    <row r="4" spans="1:24" s="28" customFormat="1" ht="150" x14ac:dyDescent="0.3">
      <c r="A4" s="20" t="s">
        <v>25</v>
      </c>
      <c r="B4" s="20" t="s">
        <v>50</v>
      </c>
      <c r="C4" s="21" t="s">
        <v>51</v>
      </c>
      <c r="D4" s="21" t="s">
        <v>52</v>
      </c>
      <c r="E4" s="22" t="s">
        <v>24</v>
      </c>
      <c r="F4" s="23">
        <v>6.99</v>
      </c>
      <c r="G4" s="23">
        <v>59.99</v>
      </c>
      <c r="H4" s="29" t="s">
        <v>53</v>
      </c>
      <c r="I4" s="22" t="s">
        <v>24</v>
      </c>
      <c r="J4" s="22" t="s">
        <v>24</v>
      </c>
      <c r="K4" s="22" t="s">
        <v>24</v>
      </c>
      <c r="L4" s="22" t="s">
        <v>24</v>
      </c>
      <c r="M4" s="22" t="s">
        <v>24</v>
      </c>
      <c r="N4" s="21" t="s">
        <v>54</v>
      </c>
      <c r="O4" s="22" t="s">
        <v>24</v>
      </c>
      <c r="P4" s="20" t="s">
        <v>36</v>
      </c>
      <c r="Q4" s="21" t="s">
        <v>55</v>
      </c>
      <c r="R4" s="21" t="s">
        <v>56</v>
      </c>
      <c r="S4" s="20" t="s">
        <v>24</v>
      </c>
      <c r="T4" s="21" t="s">
        <v>59</v>
      </c>
      <c r="U4" s="21" t="s">
        <v>60</v>
      </c>
      <c r="V4" s="21" t="s">
        <v>57</v>
      </c>
      <c r="W4" s="26" t="s">
        <v>58</v>
      </c>
      <c r="X4" s="27">
        <v>46297</v>
      </c>
    </row>
    <row r="5" spans="1:24" s="5" customFormat="1" x14ac:dyDescent="0.25">
      <c r="A5" s="13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4"/>
    </row>
    <row r="6" spans="1:24" s="28" customFormat="1" ht="125" x14ac:dyDescent="0.3">
      <c r="A6" s="20" t="s">
        <v>26</v>
      </c>
      <c r="B6" s="20" t="s">
        <v>63</v>
      </c>
      <c r="C6" s="21" t="s">
        <v>64</v>
      </c>
      <c r="D6" s="21" t="s">
        <v>65</v>
      </c>
      <c r="E6" s="22" t="s">
        <v>66</v>
      </c>
      <c r="F6" s="35" t="s">
        <v>67</v>
      </c>
      <c r="G6" s="34" t="s">
        <v>70</v>
      </c>
      <c r="H6" s="29" t="s">
        <v>68</v>
      </c>
      <c r="I6" s="22" t="s">
        <v>24</v>
      </c>
      <c r="J6" s="36" t="s">
        <v>69</v>
      </c>
      <c r="K6" s="22" t="s">
        <v>24</v>
      </c>
      <c r="L6" s="22" t="s">
        <v>24</v>
      </c>
      <c r="M6" s="22" t="s">
        <v>24</v>
      </c>
      <c r="N6" s="21" t="s">
        <v>71</v>
      </c>
      <c r="O6" s="22" t="s">
        <v>24</v>
      </c>
      <c r="P6" s="20" t="s">
        <v>72</v>
      </c>
      <c r="Q6" s="22" t="s">
        <v>35</v>
      </c>
      <c r="R6" s="22" t="s">
        <v>24</v>
      </c>
      <c r="S6" s="25" t="s">
        <v>42</v>
      </c>
      <c r="T6" s="21" t="s">
        <v>73</v>
      </c>
      <c r="U6" s="21" t="s">
        <v>74</v>
      </c>
      <c r="V6" s="21" t="s">
        <v>75</v>
      </c>
      <c r="W6" s="26" t="s">
        <v>79</v>
      </c>
      <c r="X6" s="27">
        <v>46297</v>
      </c>
    </row>
    <row r="7" spans="1:24" s="5" customFormat="1" x14ac:dyDescent="0.25">
      <c r="A7" s="13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4"/>
    </row>
    <row r="8" spans="1:24" s="28" customFormat="1" ht="175" x14ac:dyDescent="0.3">
      <c r="A8" s="20" t="s">
        <v>27</v>
      </c>
      <c r="B8" s="20" t="s">
        <v>76</v>
      </c>
      <c r="C8" s="21" t="s">
        <v>80</v>
      </c>
      <c r="D8" s="21" t="s">
        <v>81</v>
      </c>
      <c r="E8" s="22" t="s">
        <v>66</v>
      </c>
      <c r="F8" s="23">
        <v>5.95</v>
      </c>
      <c r="G8" s="23">
        <v>49</v>
      </c>
      <c r="H8" s="29" t="s">
        <v>68</v>
      </c>
      <c r="I8" s="22" t="s">
        <v>24</v>
      </c>
      <c r="J8" s="22" t="s">
        <v>66</v>
      </c>
      <c r="K8" s="29" t="s">
        <v>82</v>
      </c>
      <c r="L8" s="22" t="s">
        <v>24</v>
      </c>
      <c r="M8" s="22" t="s">
        <v>24</v>
      </c>
      <c r="N8" s="22" t="s">
        <v>24</v>
      </c>
      <c r="O8" s="22" t="s">
        <v>24</v>
      </c>
      <c r="P8" s="20" t="s">
        <v>36</v>
      </c>
      <c r="Q8" s="29" t="s">
        <v>82</v>
      </c>
      <c r="R8" s="22" t="s">
        <v>24</v>
      </c>
      <c r="S8" s="26" t="s">
        <v>83</v>
      </c>
      <c r="T8" s="21" t="s">
        <v>84</v>
      </c>
      <c r="U8" s="21" t="s">
        <v>85</v>
      </c>
      <c r="V8" s="21" t="s">
        <v>86</v>
      </c>
      <c r="W8" s="26" t="s">
        <v>87</v>
      </c>
      <c r="X8" s="27">
        <v>46297</v>
      </c>
    </row>
    <row r="9" spans="1:24" s="5" customFormat="1" x14ac:dyDescent="0.25">
      <c r="A9" s="13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4"/>
    </row>
    <row r="10" spans="1:24" s="28" customFormat="1" ht="150" x14ac:dyDescent="0.3">
      <c r="A10" s="21" t="s">
        <v>91</v>
      </c>
      <c r="B10" s="20" t="s">
        <v>92</v>
      </c>
      <c r="C10" s="21" t="s">
        <v>93</v>
      </c>
      <c r="D10" s="21" t="s">
        <v>94</v>
      </c>
      <c r="E10" s="22" t="s">
        <v>66</v>
      </c>
      <c r="F10" s="20" t="s">
        <v>95</v>
      </c>
      <c r="G10" s="20" t="s">
        <v>95</v>
      </c>
      <c r="H10" s="21" t="s">
        <v>96</v>
      </c>
      <c r="I10" s="22" t="s">
        <v>24</v>
      </c>
      <c r="J10" s="22" t="s">
        <v>66</v>
      </c>
      <c r="K10" s="36" t="s">
        <v>97</v>
      </c>
      <c r="L10" s="22" t="s">
        <v>24</v>
      </c>
      <c r="M10" s="22" t="s">
        <v>24</v>
      </c>
      <c r="N10" s="36" t="s">
        <v>98</v>
      </c>
      <c r="O10" s="36" t="s">
        <v>99</v>
      </c>
      <c r="P10" s="20" t="s">
        <v>72</v>
      </c>
      <c r="Q10" s="22" t="s">
        <v>24</v>
      </c>
      <c r="R10" s="21" t="s">
        <v>100</v>
      </c>
      <c r="S10" s="26" t="s">
        <v>101</v>
      </c>
      <c r="T10" s="21" t="s">
        <v>102</v>
      </c>
      <c r="U10" s="21" t="s">
        <v>103</v>
      </c>
      <c r="V10" s="21" t="s">
        <v>104</v>
      </c>
      <c r="W10" s="26" t="s">
        <v>46</v>
      </c>
      <c r="X10" s="27">
        <v>46297</v>
      </c>
    </row>
    <row r="11" spans="1:24" s="5" customFormat="1" x14ac:dyDescent="0.25">
      <c r="A11" s="13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4"/>
    </row>
    <row r="12" spans="1:24" s="28" customFormat="1" ht="125" x14ac:dyDescent="0.3">
      <c r="A12" s="20" t="s">
        <v>29</v>
      </c>
      <c r="B12" s="20" t="s">
        <v>111</v>
      </c>
      <c r="C12" s="21" t="s">
        <v>112</v>
      </c>
      <c r="D12" s="21" t="s">
        <v>113</v>
      </c>
      <c r="E12" s="22" t="s">
        <v>24</v>
      </c>
      <c r="F12" s="39" t="s">
        <v>114</v>
      </c>
      <c r="G12" s="38" t="s">
        <v>115</v>
      </c>
      <c r="H12" s="22" t="s">
        <v>35</v>
      </c>
      <c r="I12" s="22" t="s">
        <v>24</v>
      </c>
      <c r="J12" s="22" t="s">
        <v>24</v>
      </c>
      <c r="K12" s="22" t="s">
        <v>24</v>
      </c>
      <c r="L12" s="22" t="s">
        <v>35</v>
      </c>
      <c r="M12" s="22" t="s">
        <v>24</v>
      </c>
      <c r="N12" s="22" t="s">
        <v>24</v>
      </c>
      <c r="O12" s="22" t="s">
        <v>24</v>
      </c>
      <c r="P12" s="20" t="s">
        <v>36</v>
      </c>
      <c r="Q12" s="21" t="s">
        <v>116</v>
      </c>
      <c r="R12" s="22" t="s">
        <v>24</v>
      </c>
      <c r="S12" s="20" t="s">
        <v>117</v>
      </c>
      <c r="T12" s="21" t="s">
        <v>118</v>
      </c>
      <c r="U12" s="21" t="s">
        <v>119</v>
      </c>
      <c r="V12" s="21" t="s">
        <v>120</v>
      </c>
      <c r="W12" s="21" t="s">
        <v>122</v>
      </c>
      <c r="X12" s="27">
        <v>46297</v>
      </c>
    </row>
  </sheetData>
  <mergeCells count="5">
    <mergeCell ref="A3:X3"/>
    <mergeCell ref="A5:X5"/>
    <mergeCell ref="A7:X7"/>
    <mergeCell ref="A9:X9"/>
    <mergeCell ref="A11:X11"/>
  </mergeCells>
  <dataValidations count="2">
    <dataValidation type="list" allowBlank="1" showInputMessage="1" showErrorMessage="1" sqref="E2 E12 H2:J2 E10 E4 E6 I4:J4 I6 E8 I10:J10 I8:J8 I12:J12" xr:uid="{18EAEB50-EE07-0740-87EF-F16D53C6A0CB}">
      <formula1>"Yes,No"</formula1>
    </dataValidation>
    <dataValidation type="list" allowBlank="1" showInputMessage="1" showErrorMessage="1" sqref="K2:O2 Q2:R2 H12 K4:M4 O6 R8 K12:O12 O4 Q6:R6 L8:O8 L10:M10 K6:M6 Q10 R12" xr:uid="{A98DA1A7-D611-6D4C-89D4-87F9A9C644A8}">
      <formula1>"Yes,No,Not confirmed"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59540-95E8-354D-B288-75BA9B070A3C}">
  <dimension ref="A1:H13"/>
  <sheetViews>
    <sheetView tabSelected="1" workbookViewId="0">
      <selection activeCell="D20" sqref="D20"/>
    </sheetView>
  </sheetViews>
  <sheetFormatPr baseColWidth="10" defaultRowHeight="16" x14ac:dyDescent="0.2"/>
  <cols>
    <col min="1" max="1" width="27.83203125" style="40" bestFit="1" customWidth="1"/>
    <col min="2" max="2" width="30.1640625" bestFit="1" customWidth="1"/>
    <col min="3" max="3" width="26" bestFit="1" customWidth="1"/>
    <col min="4" max="5" width="30.1640625" bestFit="1" customWidth="1"/>
    <col min="6" max="6" width="27" bestFit="1" customWidth="1"/>
    <col min="7" max="7" width="30.1640625" bestFit="1" customWidth="1"/>
    <col min="8" max="8" width="29.83203125" bestFit="1" customWidth="1"/>
  </cols>
  <sheetData>
    <row r="1" spans="1:8" s="46" customFormat="1" ht="32" x14ac:dyDescent="0.4">
      <c r="A1" s="44" t="s">
        <v>125</v>
      </c>
      <c r="B1" s="45" t="s">
        <v>23</v>
      </c>
      <c r="C1" s="45" t="s">
        <v>25</v>
      </c>
      <c r="D1" s="45" t="s">
        <v>26</v>
      </c>
      <c r="E1" s="45" t="s">
        <v>27</v>
      </c>
      <c r="F1" s="45" t="s">
        <v>28</v>
      </c>
      <c r="G1" s="45" t="s">
        <v>29</v>
      </c>
      <c r="H1" s="45" t="s">
        <v>127</v>
      </c>
    </row>
    <row r="2" spans="1:8" ht="24" x14ac:dyDescent="0.2">
      <c r="A2" s="41" t="s">
        <v>4</v>
      </c>
      <c r="B2" s="42" t="s">
        <v>24</v>
      </c>
      <c r="C2" s="42" t="s">
        <v>24</v>
      </c>
      <c r="D2" s="42" t="s">
        <v>66</v>
      </c>
      <c r="E2" s="42" t="s">
        <v>66</v>
      </c>
      <c r="F2" s="42" t="s">
        <v>66</v>
      </c>
      <c r="G2" s="42" t="s">
        <v>24</v>
      </c>
      <c r="H2" s="42" t="str">
        <f>COUNTIF(B2:G2,"Yes")&amp;"/"&amp;COUNTA(B2:G2)</f>
        <v>3/6</v>
      </c>
    </row>
    <row r="3" spans="1:8" ht="24" x14ac:dyDescent="0.2">
      <c r="A3" s="41" t="s">
        <v>7</v>
      </c>
      <c r="B3" s="42" t="s">
        <v>24</v>
      </c>
      <c r="C3" s="42" t="s">
        <v>24</v>
      </c>
      <c r="D3" s="42" t="s">
        <v>24</v>
      </c>
      <c r="E3" s="42" t="s">
        <v>24</v>
      </c>
      <c r="F3" s="42" t="s">
        <v>24</v>
      </c>
      <c r="G3" s="42" t="s">
        <v>24</v>
      </c>
      <c r="H3" s="42" t="str">
        <f t="shared" ref="H3:H13" si="0">COUNTIF(B3:G3,"Yes")&amp;"/"&amp;COUNTA(B3:G3)</f>
        <v>6/6</v>
      </c>
    </row>
    <row r="4" spans="1:8" ht="24" x14ac:dyDescent="0.2">
      <c r="A4" s="41" t="s">
        <v>8</v>
      </c>
      <c r="B4" s="42" t="s">
        <v>24</v>
      </c>
      <c r="C4" s="42" t="s">
        <v>24</v>
      </c>
      <c r="D4" s="42" t="s">
        <v>66</v>
      </c>
      <c r="E4" s="42" t="s">
        <v>66</v>
      </c>
      <c r="F4" s="42" t="s">
        <v>66</v>
      </c>
      <c r="G4" s="42" t="s">
        <v>24</v>
      </c>
      <c r="H4" s="42" t="str">
        <f t="shared" si="0"/>
        <v>3/6</v>
      </c>
    </row>
    <row r="5" spans="1:8" ht="24" x14ac:dyDescent="0.2">
      <c r="A5" s="41" t="s">
        <v>9</v>
      </c>
      <c r="B5" s="42" t="s">
        <v>24</v>
      </c>
      <c r="C5" s="42" t="s">
        <v>24</v>
      </c>
      <c r="D5" s="42" t="s">
        <v>24</v>
      </c>
      <c r="E5" s="42" t="s">
        <v>82</v>
      </c>
      <c r="F5" s="42" t="s">
        <v>82</v>
      </c>
      <c r="G5" s="42" t="s">
        <v>24</v>
      </c>
      <c r="H5" s="42" t="str">
        <f t="shared" si="0"/>
        <v>4/6</v>
      </c>
    </row>
    <row r="6" spans="1:8" ht="24" x14ac:dyDescent="0.2">
      <c r="A6" s="41" t="s">
        <v>10</v>
      </c>
      <c r="B6" s="43" t="s">
        <v>35</v>
      </c>
      <c r="C6" s="42" t="s">
        <v>24</v>
      </c>
      <c r="D6" s="42" t="s">
        <v>24</v>
      </c>
      <c r="E6" s="42" t="s">
        <v>24</v>
      </c>
      <c r="F6" s="42" t="s">
        <v>24</v>
      </c>
      <c r="G6" s="43" t="s">
        <v>35</v>
      </c>
      <c r="H6" s="42" t="str">
        <f t="shared" si="0"/>
        <v>4/6</v>
      </c>
    </row>
    <row r="7" spans="1:8" ht="24" x14ac:dyDescent="0.2">
      <c r="A7" s="41" t="s">
        <v>11</v>
      </c>
      <c r="B7" s="42" t="s">
        <v>24</v>
      </c>
      <c r="C7" s="42" t="s">
        <v>24</v>
      </c>
      <c r="D7" s="42" t="s">
        <v>24</v>
      </c>
      <c r="E7" s="42" t="s">
        <v>24</v>
      </c>
      <c r="F7" s="42" t="s">
        <v>24</v>
      </c>
      <c r="G7" s="42" t="s">
        <v>24</v>
      </c>
      <c r="H7" s="42" t="str">
        <f t="shared" si="0"/>
        <v>6/6</v>
      </c>
    </row>
    <row r="8" spans="1:8" ht="24" x14ac:dyDescent="0.2">
      <c r="A8" s="41" t="s">
        <v>12</v>
      </c>
      <c r="B8" s="42" t="s">
        <v>24</v>
      </c>
      <c r="C8" s="42" t="s">
        <v>24</v>
      </c>
      <c r="D8" s="42" t="s">
        <v>82</v>
      </c>
      <c r="E8" s="42" t="s">
        <v>24</v>
      </c>
      <c r="F8" s="42" t="s">
        <v>82</v>
      </c>
      <c r="G8" s="42" t="s">
        <v>24</v>
      </c>
      <c r="H8" s="42" t="str">
        <f t="shared" si="0"/>
        <v>4/6</v>
      </c>
    </row>
    <row r="9" spans="1:8" ht="24" x14ac:dyDescent="0.2">
      <c r="A9" s="41" t="s">
        <v>13</v>
      </c>
      <c r="B9" s="42" t="s">
        <v>24</v>
      </c>
      <c r="C9" s="42" t="s">
        <v>24</v>
      </c>
      <c r="D9" s="42" t="s">
        <v>24</v>
      </c>
      <c r="E9" s="42" t="s">
        <v>24</v>
      </c>
      <c r="F9" s="42" t="s">
        <v>126</v>
      </c>
      <c r="G9" s="42" t="s">
        <v>24</v>
      </c>
      <c r="H9" s="42" t="str">
        <f t="shared" si="0"/>
        <v>5/6</v>
      </c>
    </row>
    <row r="10" spans="1:8" ht="24" x14ac:dyDescent="0.2">
      <c r="A10" s="41" t="s">
        <v>14</v>
      </c>
      <c r="B10" s="42" t="s">
        <v>36</v>
      </c>
      <c r="C10" s="42" t="s">
        <v>36</v>
      </c>
      <c r="D10" s="42" t="s">
        <v>72</v>
      </c>
      <c r="E10" s="42" t="s">
        <v>36</v>
      </c>
      <c r="F10" s="42" t="s">
        <v>72</v>
      </c>
      <c r="G10" s="42" t="s">
        <v>36</v>
      </c>
      <c r="H10" s="42" t="s">
        <v>128</v>
      </c>
    </row>
    <row r="11" spans="1:8" ht="24" x14ac:dyDescent="0.2">
      <c r="A11" s="41" t="s">
        <v>15</v>
      </c>
      <c r="B11" s="42" t="s">
        <v>24</v>
      </c>
      <c r="C11" s="42" t="s">
        <v>24</v>
      </c>
      <c r="D11" s="43" t="s">
        <v>35</v>
      </c>
      <c r="E11" s="42" t="s">
        <v>82</v>
      </c>
      <c r="F11" s="42" t="s">
        <v>24</v>
      </c>
      <c r="G11" s="42" t="s">
        <v>82</v>
      </c>
      <c r="H11" s="42" t="str">
        <f t="shared" si="0"/>
        <v>3/6</v>
      </c>
    </row>
    <row r="12" spans="1:8" ht="24" x14ac:dyDescent="0.2">
      <c r="A12" s="41" t="s">
        <v>16</v>
      </c>
      <c r="B12" s="42" t="s">
        <v>24</v>
      </c>
      <c r="C12" s="42" t="s">
        <v>24</v>
      </c>
      <c r="D12" s="42" t="s">
        <v>24</v>
      </c>
      <c r="E12" s="42" t="s">
        <v>24</v>
      </c>
      <c r="F12" s="42" t="s">
        <v>66</v>
      </c>
      <c r="G12" s="42" t="s">
        <v>24</v>
      </c>
      <c r="H12" s="42" t="str">
        <f t="shared" si="0"/>
        <v>5/6</v>
      </c>
    </row>
    <row r="13" spans="1:8" ht="24" x14ac:dyDescent="0.2">
      <c r="A13" s="41" t="s">
        <v>17</v>
      </c>
      <c r="B13" s="42" t="s">
        <v>42</v>
      </c>
      <c r="C13" s="42" t="s">
        <v>24</v>
      </c>
      <c r="D13" s="42" t="s">
        <v>42</v>
      </c>
      <c r="E13" s="42" t="s">
        <v>42</v>
      </c>
      <c r="F13" s="42" t="s">
        <v>66</v>
      </c>
      <c r="G13" s="42" t="s">
        <v>42</v>
      </c>
      <c r="H13" s="42" t="str">
        <f t="shared" si="0"/>
        <v>1/6</v>
      </c>
    </row>
  </sheetData>
  <conditionalFormatting sqref="B2:C2">
    <cfRule type="containsText" dxfId="32" priority="26" operator="containsText" text="Yes">
      <formula>NOT(ISERROR(SEARCH("Yes",B2)))</formula>
    </cfRule>
  </conditionalFormatting>
  <conditionalFormatting sqref="G2">
    <cfRule type="containsText" dxfId="31" priority="25" operator="containsText" text="Yes">
      <formula>NOT(ISERROR(SEARCH("Yes",G2)))</formula>
    </cfRule>
  </conditionalFormatting>
  <conditionalFormatting sqref="B3:G3">
    <cfRule type="containsText" dxfId="30" priority="24" operator="containsText" text="Yes">
      <formula>NOT(ISERROR(SEARCH("Yes",B3)))</formula>
    </cfRule>
  </conditionalFormatting>
  <conditionalFormatting sqref="B4:C4">
    <cfRule type="containsText" dxfId="29" priority="23" operator="containsText" text="Yes">
      <formula>NOT(ISERROR(SEARCH("Yes",B4)))</formula>
    </cfRule>
  </conditionalFormatting>
  <conditionalFormatting sqref="G4">
    <cfRule type="containsText" dxfId="28" priority="22" operator="containsText" text="Yes">
      <formula>NOT(ISERROR(SEARCH("Yes",G4)))</formula>
    </cfRule>
  </conditionalFormatting>
  <conditionalFormatting sqref="G5">
    <cfRule type="containsText" dxfId="27" priority="21" operator="containsText" text="Yes">
      <formula>NOT(ISERROR(SEARCH("Yes",G5)))</formula>
    </cfRule>
  </conditionalFormatting>
  <conditionalFormatting sqref="B5:D5">
    <cfRule type="containsText" dxfId="26" priority="20" operator="containsText" text="Yes">
      <formula>NOT(ISERROR(SEARCH("Yes",B5)))</formula>
    </cfRule>
  </conditionalFormatting>
  <conditionalFormatting sqref="C6:F6">
    <cfRule type="containsText" dxfId="25" priority="19" operator="containsText" text="Yes">
      <formula>NOT(ISERROR(SEARCH("Yes",C6)))</formula>
    </cfRule>
  </conditionalFormatting>
  <conditionalFormatting sqref="B7:G7">
    <cfRule type="containsText" dxfId="24" priority="18" operator="containsText" text="Yes">
      <formula>NOT(ISERROR(SEARCH("Yes",B7)))</formula>
    </cfRule>
  </conditionalFormatting>
  <conditionalFormatting sqref="B8:C8">
    <cfRule type="containsText" dxfId="23" priority="17" operator="containsText" text="Yes">
      <formula>NOT(ISERROR(SEARCH("Yes",B8)))</formula>
    </cfRule>
  </conditionalFormatting>
  <conditionalFormatting sqref="E8">
    <cfRule type="containsText" dxfId="22" priority="16" operator="containsText" text="Yes">
      <formula>NOT(ISERROR(SEARCH("Yes",E8)))</formula>
    </cfRule>
  </conditionalFormatting>
  <conditionalFormatting sqref="G8">
    <cfRule type="containsText" dxfId="21" priority="15" operator="containsText" text="Yes">
      <formula>NOT(ISERROR(SEARCH("Yes",G8)))</formula>
    </cfRule>
  </conditionalFormatting>
  <conditionalFormatting sqref="G9">
    <cfRule type="containsText" dxfId="20" priority="14" operator="containsText" text="Yes">
      <formula>NOT(ISERROR(SEARCH("Yes",G9)))</formula>
    </cfRule>
  </conditionalFormatting>
  <conditionalFormatting sqref="E9">
    <cfRule type="containsText" dxfId="19" priority="13" operator="containsText" text="Yes">
      <formula>NOT(ISERROR(SEARCH("Yes",E9)))</formula>
    </cfRule>
  </conditionalFormatting>
  <conditionalFormatting sqref="B9:D9">
    <cfRule type="containsText" dxfId="18" priority="12" operator="containsText" text="Yes">
      <formula>NOT(ISERROR(SEARCH("Yes",B9)))</formula>
    </cfRule>
  </conditionalFormatting>
  <conditionalFormatting sqref="B11:C11">
    <cfRule type="containsText" dxfId="17" priority="11" operator="containsText" text="Yes">
      <formula>NOT(ISERROR(SEARCH("Yes",B11)))</formula>
    </cfRule>
  </conditionalFormatting>
  <conditionalFormatting sqref="F11">
    <cfRule type="containsText" dxfId="16" priority="10" operator="containsText" text="Yes">
      <formula>NOT(ISERROR(SEARCH("Yes",F11)))</formula>
    </cfRule>
  </conditionalFormatting>
  <conditionalFormatting sqref="B12:E12">
    <cfRule type="containsText" dxfId="15" priority="9" operator="containsText" text="Yes">
      <formula>NOT(ISERROR(SEARCH("Yes",B12)))</formula>
    </cfRule>
  </conditionalFormatting>
  <conditionalFormatting sqref="G12">
    <cfRule type="containsText" dxfId="14" priority="8" operator="containsText" text="Yes">
      <formula>NOT(ISERROR(SEARCH("Yes",G12)))</formula>
    </cfRule>
  </conditionalFormatting>
  <conditionalFormatting sqref="C13">
    <cfRule type="containsText" dxfId="13" priority="7" operator="containsText" text="Yes">
      <formula>NOT(ISERROR(SEARCH("Yes",C13)))</formula>
    </cfRule>
  </conditionalFormatting>
  <conditionalFormatting sqref="A2:G13">
    <cfRule type="cellIs" dxfId="12" priority="5" operator="equal">
      <formula>"No"</formula>
    </cfRule>
  </conditionalFormatting>
  <conditionalFormatting sqref="A1:G13">
    <cfRule type="containsText" dxfId="11" priority="3" operator="containsText" text="Yes">
      <formula>NOT(ISERROR(SEARCH("Yes",A1)))</formula>
    </cfRule>
    <cfRule type="containsText" dxfId="10" priority="4" operator="containsText" text="Limited">
      <formula>NOT(ISERROR(SEARCH("Limited",A1)))</formula>
    </cfRule>
  </conditionalFormatting>
  <conditionalFormatting sqref="H1">
    <cfRule type="containsText" dxfId="9" priority="1" operator="containsText" text="Yes">
      <formula>NOT(ISERROR(SEARCH("Yes",H1)))</formula>
    </cfRule>
    <cfRule type="containsText" dxfId="8" priority="2" operator="containsText" text="Limited">
      <formula>NOT(ISERROR(SEARCH("Limited",H1)))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5FD09-23BB-044B-BF43-369EB3342025}">
  <dimension ref="A1:I13"/>
  <sheetViews>
    <sheetView topLeftCell="G1" workbookViewId="0">
      <selection activeCell="I11" sqref="I11"/>
    </sheetView>
  </sheetViews>
  <sheetFormatPr baseColWidth="10" defaultRowHeight="16" x14ac:dyDescent="0.2"/>
  <cols>
    <col min="1" max="1" width="20.5" bestFit="1" customWidth="1"/>
    <col min="2" max="2" width="31.83203125" bestFit="1" customWidth="1"/>
    <col min="3" max="3" width="26" bestFit="1" customWidth="1"/>
    <col min="4" max="4" width="31.6640625" bestFit="1" customWidth="1"/>
    <col min="5" max="5" width="22.83203125" bestFit="1" customWidth="1"/>
    <col min="6" max="6" width="65.1640625" bestFit="1" customWidth="1"/>
    <col min="7" max="7" width="81" bestFit="1" customWidth="1"/>
    <col min="8" max="8" width="85.1640625" bestFit="1" customWidth="1"/>
    <col min="9" max="9" width="40.33203125" bestFit="1" customWidth="1"/>
  </cols>
  <sheetData>
    <row r="1" spans="1:9" s="48" customFormat="1" ht="32" x14ac:dyDescent="0.2">
      <c r="A1" s="49" t="s">
        <v>0</v>
      </c>
      <c r="B1" s="49" t="s">
        <v>129</v>
      </c>
      <c r="C1" s="49" t="s">
        <v>4</v>
      </c>
      <c r="D1" s="49" t="s">
        <v>130</v>
      </c>
      <c r="E1" s="49" t="s">
        <v>5</v>
      </c>
      <c r="F1" s="49" t="s">
        <v>2</v>
      </c>
      <c r="G1" s="49" t="s">
        <v>20</v>
      </c>
      <c r="H1" s="49" t="s">
        <v>131</v>
      </c>
      <c r="I1" s="49" t="s">
        <v>132</v>
      </c>
    </row>
    <row r="2" spans="1:9" ht="24" x14ac:dyDescent="0.2">
      <c r="A2" s="50" t="s">
        <v>23</v>
      </c>
      <c r="B2" s="42" t="s">
        <v>133</v>
      </c>
      <c r="C2" s="42" t="s">
        <v>24</v>
      </c>
      <c r="D2" s="42" t="s">
        <v>134</v>
      </c>
      <c r="E2" s="42" t="s">
        <v>135</v>
      </c>
      <c r="F2" s="42" t="s">
        <v>136</v>
      </c>
      <c r="G2" s="42" t="s">
        <v>137</v>
      </c>
      <c r="H2" s="42" t="s">
        <v>138</v>
      </c>
      <c r="I2" s="53" t="s">
        <v>139</v>
      </c>
    </row>
    <row r="3" spans="1:9" ht="24" x14ac:dyDescent="0.2">
      <c r="A3" s="50" t="s">
        <v>25</v>
      </c>
      <c r="B3" s="42" t="s">
        <v>133</v>
      </c>
      <c r="C3" s="42" t="s">
        <v>24</v>
      </c>
      <c r="D3" s="42" t="s">
        <v>140</v>
      </c>
      <c r="E3" s="42" t="s">
        <v>141</v>
      </c>
      <c r="F3" s="42" t="s">
        <v>142</v>
      </c>
      <c r="G3" s="42" t="s">
        <v>143</v>
      </c>
      <c r="H3" s="42" t="s">
        <v>144</v>
      </c>
      <c r="I3" s="53" t="s">
        <v>139</v>
      </c>
    </row>
    <row r="4" spans="1:9" ht="24" x14ac:dyDescent="0.2">
      <c r="A4" s="50" t="s">
        <v>26</v>
      </c>
      <c r="B4" s="42" t="s">
        <v>145</v>
      </c>
      <c r="C4" s="42" t="s">
        <v>66</v>
      </c>
      <c r="D4" s="42" t="s">
        <v>146</v>
      </c>
      <c r="E4" s="42" t="s">
        <v>141</v>
      </c>
      <c r="F4" s="42" t="s">
        <v>147</v>
      </c>
      <c r="G4" s="42" t="s">
        <v>148</v>
      </c>
      <c r="H4" s="42" t="s">
        <v>149</v>
      </c>
      <c r="I4" s="53" t="s">
        <v>139</v>
      </c>
    </row>
    <row r="5" spans="1:9" ht="24" x14ac:dyDescent="0.2">
      <c r="A5" s="50" t="s">
        <v>27</v>
      </c>
      <c r="B5" s="42" t="s">
        <v>145</v>
      </c>
      <c r="C5" s="42" t="s">
        <v>66</v>
      </c>
      <c r="D5" s="42" t="s">
        <v>150</v>
      </c>
      <c r="E5" s="42" t="s">
        <v>151</v>
      </c>
      <c r="F5" s="42" t="s">
        <v>152</v>
      </c>
      <c r="G5" s="42" t="s">
        <v>153</v>
      </c>
      <c r="H5" s="42" t="s">
        <v>154</v>
      </c>
      <c r="I5" s="53" t="s">
        <v>139</v>
      </c>
    </row>
    <row r="6" spans="1:9" ht="24" x14ac:dyDescent="0.2">
      <c r="A6" s="50" t="s">
        <v>28</v>
      </c>
      <c r="B6" s="42" t="s">
        <v>155</v>
      </c>
      <c r="C6" s="42" t="s">
        <v>66</v>
      </c>
      <c r="D6" s="42" t="s">
        <v>156</v>
      </c>
      <c r="E6" s="42" t="s">
        <v>128</v>
      </c>
      <c r="F6" s="42" t="s">
        <v>157</v>
      </c>
      <c r="G6" s="42" t="s">
        <v>158</v>
      </c>
      <c r="H6" s="42" t="s">
        <v>159</v>
      </c>
      <c r="I6" s="53" t="s">
        <v>139</v>
      </c>
    </row>
    <row r="7" spans="1:9" ht="24" x14ac:dyDescent="0.2">
      <c r="A7" s="50" t="s">
        <v>29</v>
      </c>
      <c r="B7" s="42" t="s">
        <v>133</v>
      </c>
      <c r="C7" s="42" t="s">
        <v>24</v>
      </c>
      <c r="D7" s="42" t="s">
        <v>160</v>
      </c>
      <c r="E7" s="42" t="s">
        <v>35</v>
      </c>
      <c r="F7" s="42" t="s">
        <v>161</v>
      </c>
      <c r="G7" s="42" t="s">
        <v>162</v>
      </c>
      <c r="H7" s="42" t="s">
        <v>163</v>
      </c>
      <c r="I7" s="51" t="s">
        <v>164</v>
      </c>
    </row>
    <row r="8" spans="1:9" ht="17" x14ac:dyDescent="0.25">
      <c r="B8" s="47"/>
    </row>
    <row r="9" spans="1:9" ht="17" x14ac:dyDescent="0.25">
      <c r="B9" s="47"/>
    </row>
    <row r="10" spans="1:9" ht="17" x14ac:dyDescent="0.25">
      <c r="B10" s="47"/>
    </row>
    <row r="11" spans="1:9" ht="17" x14ac:dyDescent="0.25">
      <c r="B11" s="47"/>
    </row>
    <row r="12" spans="1:9" ht="17" x14ac:dyDescent="0.25">
      <c r="B12" s="47"/>
    </row>
    <row r="13" spans="1:9" ht="17" x14ac:dyDescent="0.25">
      <c r="B13" s="47"/>
    </row>
  </sheetData>
  <conditionalFormatting sqref="I7">
    <cfRule type="containsText" dxfId="3" priority="1" operator="containsText" text="Exiting">
      <formula>NOT(ISERROR(SEARCH("Exiting",I7)))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FDB7-76AE-A249-AFB0-9DC72C1C690F}">
  <dimension ref="A1:I16"/>
  <sheetViews>
    <sheetView topLeftCell="E1" workbookViewId="0"/>
  </sheetViews>
  <sheetFormatPr baseColWidth="10" defaultRowHeight="19" x14ac:dyDescent="0.25"/>
  <cols>
    <col min="1" max="1" width="36.6640625" style="3" customWidth="1"/>
    <col min="2" max="2" width="31.6640625" bestFit="1" customWidth="1"/>
    <col min="3" max="3" width="23.6640625" customWidth="1"/>
    <col min="4" max="4" width="20.5" bestFit="1" customWidth="1"/>
    <col min="5" max="5" width="20.5" customWidth="1"/>
    <col min="6" max="6" width="42.1640625" customWidth="1"/>
    <col min="7" max="7" width="41.6640625" style="15" customWidth="1"/>
    <col min="8" max="8" width="52.1640625" style="11" customWidth="1"/>
    <col min="9" max="9" width="26.6640625" style="11" bestFit="1" customWidth="1"/>
  </cols>
  <sheetData>
    <row r="1" spans="1:9" s="8" customFormat="1" ht="32" x14ac:dyDescent="0.4">
      <c r="A1" s="30" t="s">
        <v>0</v>
      </c>
      <c r="B1" s="30" t="s">
        <v>37</v>
      </c>
      <c r="C1" s="30" t="s">
        <v>40</v>
      </c>
      <c r="D1" s="30" t="s">
        <v>41</v>
      </c>
      <c r="E1" s="30" t="s">
        <v>47</v>
      </c>
      <c r="F1" s="30" t="s">
        <v>38</v>
      </c>
      <c r="G1" s="30" t="s">
        <v>39</v>
      </c>
      <c r="H1" s="37" t="s">
        <v>21</v>
      </c>
      <c r="I1" s="37" t="s">
        <v>22</v>
      </c>
    </row>
    <row r="2" spans="1:9" s="32" customFormat="1" ht="50" x14ac:dyDescent="0.3">
      <c r="A2" s="20" t="s">
        <v>23</v>
      </c>
      <c r="B2" s="20">
        <v>200</v>
      </c>
      <c r="C2" s="31">
        <v>0.65500000000000003</v>
      </c>
      <c r="D2" s="31">
        <v>0.33500000000000002</v>
      </c>
      <c r="E2" s="31">
        <v>0.01</v>
      </c>
      <c r="F2" s="20" t="s">
        <v>48</v>
      </c>
      <c r="G2" s="21" t="s">
        <v>49</v>
      </c>
      <c r="H2" s="21" t="s">
        <v>105</v>
      </c>
      <c r="I2" s="27">
        <v>46297</v>
      </c>
    </row>
    <row r="3" spans="1:9" s="32" customFormat="1" ht="75" x14ac:dyDescent="0.3">
      <c r="A3" s="20" t="s">
        <v>25</v>
      </c>
      <c r="B3" s="20">
        <v>199</v>
      </c>
      <c r="C3" s="31">
        <v>0.64800000000000002</v>
      </c>
      <c r="D3" s="31">
        <v>0.34200000000000003</v>
      </c>
      <c r="E3" s="31">
        <v>0.01</v>
      </c>
      <c r="F3" s="20" t="s">
        <v>61</v>
      </c>
      <c r="G3" s="21" t="s">
        <v>62</v>
      </c>
      <c r="H3" s="21" t="s">
        <v>106</v>
      </c>
      <c r="I3" s="27">
        <v>46297</v>
      </c>
    </row>
    <row r="4" spans="1:9" s="32" customFormat="1" ht="50" x14ac:dyDescent="0.3">
      <c r="A4" s="20" t="s">
        <v>26</v>
      </c>
      <c r="B4" s="20">
        <v>200</v>
      </c>
      <c r="C4" s="31">
        <v>0.35</v>
      </c>
      <c r="D4" s="31">
        <v>0.62</v>
      </c>
      <c r="E4" s="31">
        <v>0.03</v>
      </c>
      <c r="F4" s="20" t="s">
        <v>77</v>
      </c>
      <c r="G4" s="21" t="s">
        <v>78</v>
      </c>
      <c r="H4" s="21" t="s">
        <v>107</v>
      </c>
      <c r="I4" s="27">
        <v>46297</v>
      </c>
    </row>
    <row r="5" spans="1:9" s="32" customFormat="1" ht="50" x14ac:dyDescent="0.3">
      <c r="A5" s="20" t="s">
        <v>27</v>
      </c>
      <c r="B5" s="20">
        <v>200</v>
      </c>
      <c r="C5" s="31">
        <v>0.94</v>
      </c>
      <c r="D5" s="31">
        <v>0.06</v>
      </c>
      <c r="E5" s="31">
        <v>0</v>
      </c>
      <c r="F5" s="21" t="s">
        <v>88</v>
      </c>
      <c r="G5" s="21" t="s">
        <v>89</v>
      </c>
      <c r="H5" s="21" t="s">
        <v>108</v>
      </c>
      <c r="I5" s="27">
        <v>46297</v>
      </c>
    </row>
    <row r="6" spans="1:9" s="32" customFormat="1" ht="50" x14ac:dyDescent="0.3">
      <c r="A6" s="20" t="s">
        <v>90</v>
      </c>
      <c r="B6" s="20">
        <v>200</v>
      </c>
      <c r="C6" s="31">
        <v>0.98499999999999999</v>
      </c>
      <c r="D6" s="31">
        <v>1.4999999999999999E-2</v>
      </c>
      <c r="E6" s="31">
        <v>0</v>
      </c>
      <c r="F6" s="21" t="s">
        <v>109</v>
      </c>
      <c r="G6" s="21" t="s">
        <v>110</v>
      </c>
      <c r="H6" s="21" t="s">
        <v>105</v>
      </c>
      <c r="I6" s="27">
        <v>46297</v>
      </c>
    </row>
    <row r="7" spans="1:9" s="32" customFormat="1" ht="75" x14ac:dyDescent="0.3">
      <c r="A7" s="20" t="s">
        <v>29</v>
      </c>
      <c r="B7" s="20">
        <v>200</v>
      </c>
      <c r="C7" s="31">
        <v>0.71499999999999997</v>
      </c>
      <c r="D7" s="31">
        <v>0.27500000000000002</v>
      </c>
      <c r="E7" s="31">
        <v>0.01</v>
      </c>
      <c r="F7" s="21" t="s">
        <v>123</v>
      </c>
      <c r="G7" s="21" t="s">
        <v>124</v>
      </c>
      <c r="H7" s="21" t="s">
        <v>121</v>
      </c>
      <c r="I7" s="27">
        <v>46297</v>
      </c>
    </row>
    <row r="11" spans="1:9" x14ac:dyDescent="0.25">
      <c r="D11" s="1"/>
      <c r="E11" s="1"/>
    </row>
    <row r="12" spans="1:9" x14ac:dyDescent="0.25">
      <c r="D12" s="1"/>
      <c r="E12" s="1"/>
    </row>
    <row r="13" spans="1:9" x14ac:dyDescent="0.25">
      <c r="D13" s="1"/>
      <c r="E13" s="1"/>
    </row>
    <row r="14" spans="1:9" x14ac:dyDescent="0.25">
      <c r="D14" s="1"/>
      <c r="E14" s="1"/>
    </row>
    <row r="15" spans="1:9" x14ac:dyDescent="0.25">
      <c r="D15" s="1"/>
      <c r="E15" s="1"/>
    </row>
    <row r="16" spans="1:9" x14ac:dyDescent="0.25">
      <c r="D16" s="1"/>
      <c r="E16" s="1"/>
    </row>
  </sheetData>
  <conditionalFormatting sqref="C2:C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{716828F1-51F9-CB44-AE2D-ED3781E1DD20}</x14:id>
        </ext>
      </extLst>
    </cfRule>
  </conditionalFormatting>
  <conditionalFormatting sqref="D2:D7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{F520357E-2F77-3243-B52B-4F973BDE52E2}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6828F1-51F9-CB44-AE2D-ED3781E1DD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C2:C7</xm:sqref>
        </x14:conditionalFormatting>
        <x14:conditionalFormatting xmlns:xm="http://schemas.microsoft.com/office/excel/2006/main">
          <x14:cfRule type="dataBar" id="{F520357E-2F77-3243-B52B-4F973BDE52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D2:D7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C3DA4-2234-AC47-A96B-3ED6555F91C4}">
  <dimension ref="A1:J17"/>
  <sheetViews>
    <sheetView topLeftCell="C1" workbookViewId="0">
      <selection activeCell="C2" sqref="C2"/>
    </sheetView>
  </sheetViews>
  <sheetFormatPr baseColWidth="10" defaultRowHeight="16" x14ac:dyDescent="0.2"/>
  <cols>
    <col min="1" max="1" width="38.33203125" customWidth="1"/>
    <col min="2" max="2" width="40.6640625" bestFit="1" customWidth="1"/>
    <col min="3" max="3" width="38.1640625" bestFit="1" customWidth="1"/>
    <col min="4" max="4" width="39.1640625" customWidth="1"/>
    <col min="5" max="5" width="35.6640625" bestFit="1" customWidth="1"/>
    <col min="6" max="6" width="40.33203125" customWidth="1"/>
    <col min="7" max="7" width="15.83203125" bestFit="1" customWidth="1"/>
    <col min="8" max="8" width="27" customWidth="1"/>
    <col min="9" max="9" width="29.1640625" customWidth="1"/>
    <col min="10" max="10" width="19.83203125" customWidth="1"/>
  </cols>
  <sheetData>
    <row r="1" spans="1:10" s="58" customFormat="1" ht="56" x14ac:dyDescent="0.2">
      <c r="B1" s="33" t="s">
        <v>165</v>
      </c>
      <c r="C1" s="33" t="s">
        <v>166</v>
      </c>
      <c r="D1" s="33" t="s">
        <v>167</v>
      </c>
      <c r="E1" s="33" t="s">
        <v>168</v>
      </c>
      <c r="F1" s="33" t="s">
        <v>169</v>
      </c>
      <c r="G1" s="33" t="s">
        <v>170</v>
      </c>
      <c r="H1" s="59" t="s">
        <v>203</v>
      </c>
      <c r="I1" s="59" t="s">
        <v>202</v>
      </c>
      <c r="J1" s="59" t="s">
        <v>201</v>
      </c>
    </row>
    <row r="2" spans="1:10" s="55" customFormat="1" ht="145" customHeight="1" x14ac:dyDescent="0.2">
      <c r="A2" s="56" t="s">
        <v>176</v>
      </c>
      <c r="B2" s="56" t="s">
        <v>171</v>
      </c>
      <c r="C2" s="56" t="s">
        <v>173</v>
      </c>
      <c r="D2" s="56" t="s">
        <v>174</v>
      </c>
      <c r="E2" s="56" t="s">
        <v>175</v>
      </c>
      <c r="F2" s="56" t="s">
        <v>172</v>
      </c>
      <c r="G2" s="52" t="str">
        <f>IF(J2&gt;=4.5,"High",IF(J2&gt;=3.5,"Medium","Low"))</f>
        <v>High</v>
      </c>
      <c r="H2" s="52">
        <v>5</v>
      </c>
      <c r="I2" s="52">
        <v>4</v>
      </c>
      <c r="J2" s="52">
        <f>AVERAGE(H2:I2)</f>
        <v>4.5</v>
      </c>
    </row>
    <row r="3" spans="1:10" ht="170" customHeight="1" x14ac:dyDescent="0.2">
      <c r="A3" s="10" t="s">
        <v>177</v>
      </c>
      <c r="B3" s="9" t="s">
        <v>178</v>
      </c>
      <c r="C3" s="10" t="s">
        <v>180</v>
      </c>
      <c r="D3" s="10" t="s">
        <v>181</v>
      </c>
      <c r="E3" s="10" t="s">
        <v>182</v>
      </c>
      <c r="F3" s="10" t="s">
        <v>183</v>
      </c>
      <c r="G3" s="52" t="str">
        <f>IF(J3&gt;=4.5,"High",IF(J3&gt;=3.5,"Medium","Low"))</f>
        <v>High</v>
      </c>
      <c r="H3" s="52">
        <v>5</v>
      </c>
      <c r="I3" s="52">
        <v>4</v>
      </c>
      <c r="J3" s="52">
        <f t="shared" ref="J3:J6" si="0">AVERAGE(H3:I3)</f>
        <v>4.5</v>
      </c>
    </row>
    <row r="4" spans="1:10" ht="165" customHeight="1" x14ac:dyDescent="0.2">
      <c r="A4" s="10" t="s">
        <v>200</v>
      </c>
      <c r="B4" s="9" t="s">
        <v>179</v>
      </c>
      <c r="C4" s="10" t="s">
        <v>184</v>
      </c>
      <c r="D4" s="10" t="s">
        <v>185</v>
      </c>
      <c r="E4" s="10" t="s">
        <v>186</v>
      </c>
      <c r="F4" s="10" t="s">
        <v>187</v>
      </c>
      <c r="G4" s="52" t="str">
        <f t="shared" ref="G3:G6" si="1">IF(J4&gt;=4.5,"High",IF(J4&gt;=3.5,"Medium","Low"))</f>
        <v>Medium</v>
      </c>
      <c r="H4" s="52">
        <v>4</v>
      </c>
      <c r="I4" s="52">
        <v>4</v>
      </c>
      <c r="J4" s="52">
        <f t="shared" si="0"/>
        <v>4</v>
      </c>
    </row>
    <row r="5" spans="1:10" ht="164" customHeight="1" x14ac:dyDescent="0.2">
      <c r="A5" s="56" t="s">
        <v>189</v>
      </c>
      <c r="B5" s="52" t="s">
        <v>188</v>
      </c>
      <c r="C5" s="56" t="s">
        <v>191</v>
      </c>
      <c r="D5" s="56" t="s">
        <v>192</v>
      </c>
      <c r="E5" s="56" t="s">
        <v>193</v>
      </c>
      <c r="F5" s="56" t="s">
        <v>194</v>
      </c>
      <c r="G5" s="52" t="str">
        <f t="shared" si="1"/>
        <v>Medium</v>
      </c>
      <c r="H5" s="52">
        <v>5</v>
      </c>
      <c r="I5" s="52">
        <v>2</v>
      </c>
      <c r="J5" s="52">
        <f t="shared" si="0"/>
        <v>3.5</v>
      </c>
    </row>
    <row r="6" spans="1:10" ht="130" customHeight="1" x14ac:dyDescent="0.2">
      <c r="A6" s="56" t="s">
        <v>190</v>
      </c>
      <c r="B6" s="56" t="s">
        <v>195</v>
      </c>
      <c r="C6" s="56" t="s">
        <v>196</v>
      </c>
      <c r="D6" s="56" t="s">
        <v>197</v>
      </c>
      <c r="E6" s="56" t="s">
        <v>198</v>
      </c>
      <c r="F6" s="56" t="s">
        <v>199</v>
      </c>
      <c r="G6" s="52" t="str">
        <f t="shared" si="1"/>
        <v>Medium</v>
      </c>
      <c r="H6" s="52">
        <v>4</v>
      </c>
      <c r="I6" s="52">
        <v>4</v>
      </c>
      <c r="J6" s="52">
        <f t="shared" si="0"/>
        <v>4</v>
      </c>
    </row>
    <row r="7" spans="1:10" x14ac:dyDescent="0.2">
      <c r="D7" s="1"/>
    </row>
    <row r="8" spans="1:10" x14ac:dyDescent="0.2">
      <c r="C8" s="1"/>
      <c r="D8" s="1"/>
    </row>
    <row r="9" spans="1:10" x14ac:dyDescent="0.2">
      <c r="C9" s="1"/>
      <c r="D9" s="1"/>
    </row>
    <row r="10" spans="1:10" x14ac:dyDescent="0.2">
      <c r="C10" s="1"/>
    </row>
    <row r="11" spans="1:10" x14ac:dyDescent="0.2">
      <c r="C11" s="1"/>
      <c r="D11" s="1"/>
      <c r="E11" s="2"/>
    </row>
    <row r="12" spans="1:10" x14ac:dyDescent="0.2">
      <c r="C12" s="1"/>
    </row>
    <row r="13" spans="1:10" x14ac:dyDescent="0.2">
      <c r="C13" s="1"/>
    </row>
    <row r="14" spans="1:10" x14ac:dyDescent="0.2">
      <c r="C14" s="1"/>
    </row>
    <row r="15" spans="1:10" x14ac:dyDescent="0.2">
      <c r="C15" s="1"/>
    </row>
    <row r="16" spans="1:10" x14ac:dyDescent="0.2">
      <c r="C16" s="1"/>
    </row>
    <row r="17" spans="3:3" x14ac:dyDescent="0.2">
      <c r="C17" s="1"/>
    </row>
  </sheetData>
  <conditionalFormatting sqref="I3">
    <cfRule type="containsText" dxfId="2" priority="3" operator="containsText" text="High">
      <formula>NOT(ISERROR(SEARCH("High",I3)))</formula>
    </cfRule>
  </conditionalFormatting>
  <conditionalFormatting sqref="G2:G3">
    <cfRule type="containsText" dxfId="1" priority="2" operator="containsText" text="High">
      <formula>NOT(ISERROR(SEARCH("High",G2)))</formula>
    </cfRule>
  </conditionalFormatting>
  <conditionalFormatting sqref="G4:G6">
    <cfRule type="containsText" dxfId="0" priority="1" operator="containsText" text="Medium">
      <formula>NOT(ISERROR(SEARCH("Medium",G4)))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9F4F9-A665-2447-BC63-0CF38D41C00C}">
  <dimension ref="A1:J26"/>
  <sheetViews>
    <sheetView topLeftCell="D1" workbookViewId="0">
      <selection activeCell="B2" sqref="B2"/>
    </sheetView>
  </sheetViews>
  <sheetFormatPr baseColWidth="10" defaultRowHeight="16" x14ac:dyDescent="0.2"/>
  <cols>
    <col min="1" max="1" width="41.6640625" bestFit="1" customWidth="1"/>
    <col min="2" max="2" width="24" bestFit="1" customWidth="1"/>
    <col min="3" max="3" width="40.1640625" customWidth="1"/>
    <col min="4" max="4" width="52.33203125" customWidth="1"/>
    <col min="5" max="5" width="31" customWidth="1"/>
    <col min="6" max="6" width="38.5" bestFit="1" customWidth="1"/>
    <col min="7" max="7" width="20.5" customWidth="1"/>
  </cols>
  <sheetData>
    <row r="1" spans="1:10" s="57" customFormat="1" ht="27" x14ac:dyDescent="0.2">
      <c r="B1" s="60" t="s">
        <v>170</v>
      </c>
      <c r="C1" s="60" t="s">
        <v>204</v>
      </c>
      <c r="D1" s="60" t="s">
        <v>205</v>
      </c>
      <c r="E1" s="60" t="s">
        <v>206</v>
      </c>
      <c r="F1" s="60" t="s">
        <v>207</v>
      </c>
      <c r="G1" s="60" t="s">
        <v>208</v>
      </c>
    </row>
    <row r="2" spans="1:10" ht="184" x14ac:dyDescent="0.2">
      <c r="A2" s="56" t="s">
        <v>209</v>
      </c>
      <c r="B2" s="52">
        <v>1</v>
      </c>
      <c r="C2" s="56" t="s">
        <v>212</v>
      </c>
      <c r="D2" s="56" t="s">
        <v>215</v>
      </c>
      <c r="E2" s="56" t="s">
        <v>218</v>
      </c>
      <c r="F2" s="56" t="s">
        <v>221</v>
      </c>
      <c r="G2" s="56" t="s">
        <v>224</v>
      </c>
      <c r="H2" s="54"/>
      <c r="I2" s="54"/>
      <c r="J2" s="54"/>
    </row>
    <row r="3" spans="1:10" ht="161" x14ac:dyDescent="0.2">
      <c r="A3" s="56" t="s">
        <v>211</v>
      </c>
      <c r="B3" s="52">
        <v>2</v>
      </c>
      <c r="C3" s="56" t="s">
        <v>213</v>
      </c>
      <c r="D3" s="56" t="s">
        <v>216</v>
      </c>
      <c r="E3" s="56" t="s">
        <v>219</v>
      </c>
      <c r="F3" s="56" t="s">
        <v>222</v>
      </c>
      <c r="G3" s="56" t="s">
        <v>225</v>
      </c>
      <c r="H3" s="54"/>
      <c r="I3" s="54"/>
      <c r="J3" s="54"/>
    </row>
    <row r="4" spans="1:10" ht="184" x14ac:dyDescent="0.2">
      <c r="A4" s="56" t="s">
        <v>210</v>
      </c>
      <c r="B4" s="52">
        <v>3</v>
      </c>
      <c r="C4" s="56" t="s">
        <v>214</v>
      </c>
      <c r="D4" s="56" t="s">
        <v>217</v>
      </c>
      <c r="E4" s="56" t="s">
        <v>220</v>
      </c>
      <c r="F4" s="56" t="s">
        <v>223</v>
      </c>
      <c r="G4" s="56" t="s">
        <v>226</v>
      </c>
      <c r="H4" s="54"/>
      <c r="I4" s="54"/>
      <c r="J4" s="54"/>
    </row>
    <row r="5" spans="1:10" x14ac:dyDescent="0.2">
      <c r="B5" s="1"/>
    </row>
    <row r="6" spans="1:10" x14ac:dyDescent="0.2">
      <c r="B6" s="1"/>
    </row>
    <row r="8" spans="1:10" x14ac:dyDescent="0.2">
      <c r="B8" s="1"/>
      <c r="C8" s="1"/>
    </row>
    <row r="9" spans="1:10" x14ac:dyDescent="0.2">
      <c r="B9" s="1"/>
    </row>
    <row r="10" spans="1:10" x14ac:dyDescent="0.2">
      <c r="B10" s="1"/>
    </row>
    <row r="11" spans="1:10" x14ac:dyDescent="0.2">
      <c r="A11" s="1"/>
      <c r="B11" s="1"/>
    </row>
    <row r="12" spans="1:10" x14ac:dyDescent="0.2">
      <c r="A12" s="1"/>
      <c r="B12" s="1"/>
    </row>
    <row r="13" spans="1:10" x14ac:dyDescent="0.2">
      <c r="A13" s="1"/>
      <c r="B13" s="1"/>
    </row>
    <row r="14" spans="1:10" x14ac:dyDescent="0.2">
      <c r="A14" s="1"/>
      <c r="B14" s="1"/>
    </row>
    <row r="15" spans="1:10" x14ac:dyDescent="0.2">
      <c r="A15" s="1"/>
    </row>
    <row r="16" spans="1:10" x14ac:dyDescent="0.2">
      <c r="A16" s="1"/>
    </row>
    <row r="20" spans="2:3" x14ac:dyDescent="0.2">
      <c r="B20" s="1"/>
      <c r="C20" s="1"/>
    </row>
    <row r="21" spans="2:3" x14ac:dyDescent="0.2">
      <c r="B21" s="1"/>
    </row>
    <row r="22" spans="2:3" x14ac:dyDescent="0.2">
      <c r="B22" s="1"/>
    </row>
    <row r="23" spans="2:3" x14ac:dyDescent="0.2">
      <c r="B23" s="1"/>
    </row>
    <row r="24" spans="2:3" x14ac:dyDescent="0.2">
      <c r="B24" s="1"/>
    </row>
    <row r="25" spans="2:3" x14ac:dyDescent="0.2">
      <c r="B25" s="1"/>
    </row>
    <row r="26" spans="2:3" x14ac:dyDescent="0.2">
      <c r="B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Competitor Research</vt:lpstr>
      <vt:lpstr>Feature Comparison</vt:lpstr>
      <vt:lpstr>Pricing &amp; Positioning</vt:lpstr>
      <vt:lpstr>Review Summary</vt:lpstr>
      <vt:lpstr>Market Gap Analysis</vt:lpstr>
      <vt:lpstr>Recommendations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KIEU</dc:creator>
  <cp:lastModifiedBy>KATIE KIEU</cp:lastModifiedBy>
  <dcterms:created xsi:type="dcterms:W3CDTF">2026-09-27T15:11:57Z</dcterms:created>
  <dcterms:modified xsi:type="dcterms:W3CDTF">2026-10-13T12:17:51Z</dcterms:modified>
</cp:coreProperties>
</file>